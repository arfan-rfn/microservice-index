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Generator Valid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9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2">
      <c r="A2" s="1" t="inlineStr">
        <is>
          <t>Round 1 (System AS IT IS)</t>
        </is>
      </c>
    </row>
    <row r="3">
      <c r="B3" s="1" t="inlineStr">
        <is>
          <t>Completeness Metrics</t>
        </is>
      </c>
    </row>
    <row r="4">
      <c r="B4" s="2" t="inlineStr">
        <is>
          <t>Role Coverage</t>
        </is>
      </c>
      <c r="E4" s="2" t="inlineStr">
        <is>
          <t>Path Coverage</t>
        </is>
      </c>
      <c r="H4" s="2" t="inlineStr">
        <is>
          <t xml:space="preserve">Inconsistencies Detection Rate </t>
        </is>
      </c>
      <c r="K4" s="2" t="inlineStr">
        <is>
          <t>Entry Point Testing Ratio</t>
        </is>
      </c>
      <c r="N4" s="2" t="inlineStr">
        <is>
          <t>Postive to Negative Ratio</t>
        </is>
      </c>
    </row>
    <row r="5">
      <c r="A5" s="2" t="inlineStr">
        <is>
          <t>Target Endpoint</t>
        </is>
      </c>
      <c r="B5" s="2" t="inlineStr">
        <is>
          <t>R-E Combinations</t>
        </is>
      </c>
      <c r="C5" s="2" t="inlineStr">
        <is>
          <t>Total Combinations</t>
        </is>
      </c>
      <c r="D5" s="2" t="inlineStr">
        <is>
          <t>Role Coverage %</t>
        </is>
      </c>
      <c r="E5" s="2" t="inlineStr">
        <is>
          <t>Paths defined</t>
        </is>
      </c>
      <c r="F5" s="2" t="inlineStr">
        <is>
          <t>Total Paths</t>
        </is>
      </c>
      <c r="G5" s="2" t="inlineStr">
        <is>
          <t>Path Coverage %</t>
        </is>
      </c>
      <c r="H5" s="2" t="inlineStr">
        <is>
          <t>Inconsistencies Defined</t>
        </is>
      </c>
      <c r="I5" s="2" t="inlineStr">
        <is>
          <t>All Inconsistencies in Path</t>
        </is>
      </c>
      <c r="J5" s="2" t="inlineStr">
        <is>
          <t>Detection Rate</t>
        </is>
      </c>
      <c r="K5" s="2" t="inlineStr">
        <is>
          <t>Entry Point Cases</t>
        </is>
      </c>
      <c r="L5" s="2" t="inlineStr">
        <is>
          <t>Down Stream Cases</t>
        </is>
      </c>
      <c r="M5" s="2" t="inlineStr">
        <is>
          <t>Testing Ratio</t>
        </is>
      </c>
      <c r="N5" s="2" t="inlineStr">
        <is>
          <t>Positive Cases</t>
        </is>
      </c>
      <c r="O5" s="2" t="inlineStr">
        <is>
          <t>Negative Cases</t>
        </is>
      </c>
      <c r="P5" s="2" t="inlineStr">
        <is>
          <t>Ratio</t>
        </is>
      </c>
    </row>
    <row r="6">
      <c r="A6" t="inlineStr">
        <is>
          <t>GET contactservice/contacts</t>
        </is>
      </c>
      <c r="B6" t="n">
        <v>2</v>
      </c>
      <c r="C6" t="n">
        <v>2</v>
      </c>
      <c r="D6">
        <f>(B6/C6)*100</f>
        <v/>
      </c>
      <c r="E6" t="n">
        <v>1</v>
      </c>
      <c r="F6" t="n">
        <v>1</v>
      </c>
      <c r="G6">
        <f>IF(F6&gt;0,(E6/F6)*100,0)</f>
        <v/>
      </c>
      <c r="H6" t="n">
        <v>0</v>
      </c>
      <c r="I6" t="n">
        <v>0</v>
      </c>
      <c r="J6">
        <f>IF(I6&gt;0,(H6/I6)*100,0)</f>
        <v/>
      </c>
      <c r="K6" t="n">
        <v>1</v>
      </c>
      <c r="L6" t="n">
        <v>0</v>
      </c>
      <c r="M6">
        <f>IF(L6+K6&gt;0,K6/(K6+L6),0)</f>
        <v/>
      </c>
      <c r="N6" t="n">
        <v>1</v>
      </c>
      <c r="O6" t="n">
        <v>1</v>
      </c>
      <c r="P6">
        <f>IF(O6&gt;0,N6/O6,0)</f>
        <v/>
      </c>
    </row>
    <row r="7">
      <c r="A7" t="inlineStr">
        <is>
          <t>GET adminbasicservice/adminbasic/prices</t>
        </is>
      </c>
      <c r="B7" t="n">
        <v>2</v>
      </c>
      <c r="C7" t="n">
        <v>2</v>
      </c>
      <c r="D7">
        <f>(B7/C7)*100</f>
        <v/>
      </c>
      <c r="E7" t="n">
        <v>1</v>
      </c>
      <c r="F7" t="n">
        <v>1</v>
      </c>
      <c r="G7">
        <f>IF(F7&gt;0,(E7/F7)*100,0)</f>
        <v/>
      </c>
      <c r="H7" t="n">
        <v>0</v>
      </c>
      <c r="I7" t="n">
        <v>0</v>
      </c>
      <c r="J7">
        <f>IF(I7&gt;0,(H7/I7)*100,0)</f>
        <v/>
      </c>
      <c r="K7" t="n">
        <v>0</v>
      </c>
      <c r="L7" t="n">
        <v>1</v>
      </c>
      <c r="M7">
        <f>IF(L7+K7&gt;0,K7/(K7+L7),0)</f>
        <v/>
      </c>
      <c r="N7" t="n">
        <v>2</v>
      </c>
      <c r="O7" t="n">
        <v>0</v>
      </c>
      <c r="P7">
        <f>IF(O7&gt;0,N7/O7,0)</f>
        <v/>
      </c>
    </row>
    <row r="8">
      <c r="A8" t="inlineStr">
        <is>
          <t>GET cancelservice/cancel/{?}/{?}</t>
        </is>
      </c>
      <c r="B8" t="n">
        <v>2</v>
      </c>
      <c r="C8" t="n">
        <v>2</v>
      </c>
      <c r="D8">
        <f>(B8/C8)*100</f>
        <v/>
      </c>
      <c r="E8" t="n">
        <v>1</v>
      </c>
      <c r="F8" t="n">
        <v>1</v>
      </c>
      <c r="G8">
        <f>IF(F8&gt;0,(E8/F8)*100,0)</f>
        <v/>
      </c>
      <c r="H8" t="n">
        <v>0</v>
      </c>
      <c r="I8" t="n">
        <v>2</v>
      </c>
      <c r="J8">
        <f>IF(I8&gt;0,(H8/I8)*100,0)</f>
        <v/>
      </c>
      <c r="K8" t="n">
        <v>0</v>
      </c>
      <c r="L8" t="n">
        <v>1</v>
      </c>
      <c r="M8">
        <f>IF(L8+K8&gt;0,K8/(K8+L8),0)</f>
        <v/>
      </c>
      <c r="N8" t="n">
        <v>2</v>
      </c>
      <c r="O8" t="n">
        <v>0</v>
      </c>
      <c r="P8">
        <f>IF(O8&gt;0,N8/O8,0)</f>
        <v/>
      </c>
    </row>
    <row r="9">
      <c r="A9" t="inlineStr">
        <is>
          <t>POST inside_pay_service/inside_payment/account</t>
        </is>
      </c>
      <c r="B9" t="n">
        <v>2</v>
      </c>
      <c r="C9" t="n">
        <v>2</v>
      </c>
      <c r="D9">
        <f>(B9/C9)*100</f>
        <v/>
      </c>
      <c r="E9" t="n">
        <v>1</v>
      </c>
      <c r="F9" t="n">
        <v>1</v>
      </c>
      <c r="G9">
        <f>IF(F9&gt;0,(E9/F9)*100,0)</f>
        <v/>
      </c>
      <c r="H9" t="n">
        <v>0</v>
      </c>
      <c r="I9" t="n">
        <v>0</v>
      </c>
      <c r="J9">
        <f>IF(I9&gt;0,(H9/I9)*100,0)</f>
        <v/>
      </c>
      <c r="K9" t="n">
        <v>1</v>
      </c>
      <c r="L9" t="n">
        <v>0</v>
      </c>
      <c r="M9">
        <f>IF(L9+K9&gt;0,K9/(K9+L9),0)</f>
        <v/>
      </c>
      <c r="N9" t="n">
        <v>2</v>
      </c>
      <c r="O9" t="n">
        <v>0</v>
      </c>
      <c r="P9">
        <f>IF(O9&gt;0,N9/O9,0)</f>
        <v/>
      </c>
    </row>
    <row r="10">
      <c r="A10" t="inlineStr">
        <is>
          <t>POST adminbasicservice/adminbasic/prices</t>
        </is>
      </c>
      <c r="B10" t="n">
        <v>2</v>
      </c>
      <c r="C10" t="n">
        <v>2</v>
      </c>
      <c r="D10">
        <f>(B10/C10)*100</f>
        <v/>
      </c>
      <c r="E10" t="n">
        <v>1</v>
      </c>
      <c r="F10" t="n">
        <v>1</v>
      </c>
      <c r="G10">
        <f>IF(F10&gt;0,(E10/F10)*100,0)</f>
        <v/>
      </c>
      <c r="H10" t="n">
        <v>0</v>
      </c>
      <c r="I10" t="n">
        <v>0</v>
      </c>
      <c r="J10">
        <f>IF(I10&gt;0,(H10/I10)*100,0)</f>
        <v/>
      </c>
      <c r="K10" t="n">
        <v>0</v>
      </c>
      <c r="L10" t="n">
        <v>1</v>
      </c>
      <c r="M10">
        <f>IF(L10+K10&gt;0,K10/(K10+L10),0)</f>
        <v/>
      </c>
      <c r="N10" t="n">
        <v>1</v>
      </c>
      <c r="O10" t="n">
        <v>1</v>
      </c>
      <c r="P10">
        <f>IF(O10&gt;0,N10/O10,0)</f>
        <v/>
      </c>
    </row>
    <row r="11">
      <c r="A11" t="inlineStr">
        <is>
          <t>POST preserveservice/preserve</t>
        </is>
      </c>
      <c r="B11" t="n">
        <v>2</v>
      </c>
      <c r="C11" t="n">
        <v>2</v>
      </c>
      <c r="D11">
        <f>(B11/C11)*100</f>
        <v/>
      </c>
      <c r="E11" t="n">
        <v>1</v>
      </c>
      <c r="F11" t="n">
        <v>1</v>
      </c>
      <c r="G11">
        <f>IF(F11&gt;0,(E11/F11)*100,0)</f>
        <v/>
      </c>
      <c r="H11" t="n">
        <v>1</v>
      </c>
      <c r="I11" t="n">
        <v>1</v>
      </c>
      <c r="J11">
        <f>IF(I11&gt;0,(H11/I11)*100,0)</f>
        <v/>
      </c>
      <c r="K11" t="n">
        <v>0</v>
      </c>
      <c r="L11" t="n">
        <v>1</v>
      </c>
      <c r="M11">
        <f>IF(L11+K11&gt;0,K11/(K11+L11),0)</f>
        <v/>
      </c>
      <c r="N11" t="n">
        <v>1</v>
      </c>
      <c r="O11" t="n">
        <v>1</v>
      </c>
      <c r="P11">
        <f>IF(O11&gt;0,N11/O11,0)</f>
        <v/>
      </c>
    </row>
    <row r="12">
      <c r="A12" t="inlineStr">
        <is>
          <t>DELETE contactservice/contacts/{?}</t>
        </is>
      </c>
      <c r="B12" t="n">
        <v>2</v>
      </c>
      <c r="C12" t="n">
        <v>2</v>
      </c>
      <c r="D12">
        <f>(B12/C12)*100</f>
        <v/>
      </c>
      <c r="E12" t="n">
        <v>1</v>
      </c>
      <c r="F12" t="n">
        <v>1</v>
      </c>
      <c r="G12">
        <f>IF(F12&gt;0,(E12/F12)*100,0)</f>
        <v/>
      </c>
      <c r="H12" t="n">
        <v>0</v>
      </c>
      <c r="I12" t="n">
        <v>0</v>
      </c>
      <c r="J12">
        <f>IF(I12&gt;0,(H12/I12)*100,0)</f>
        <v/>
      </c>
      <c r="K12" t="n">
        <v>1</v>
      </c>
      <c r="L12" t="n">
        <v>0</v>
      </c>
      <c r="M12">
        <f>IF(L12+K12&gt;0,K12/(K12+L12),0)</f>
        <v/>
      </c>
      <c r="N12" t="n">
        <v>1</v>
      </c>
      <c r="O12" t="n">
        <v>1</v>
      </c>
      <c r="P12">
        <f>IF(O12&gt;0,N12/O12,0)</f>
        <v/>
      </c>
    </row>
    <row r="13">
      <c r="A13" t="inlineStr">
        <is>
          <t>DELETE adminbasicservice/adminbasic/stations/{?}</t>
        </is>
      </c>
      <c r="B13" t="n">
        <v>2</v>
      </c>
      <c r="C13" t="n">
        <v>2</v>
      </c>
      <c r="D13">
        <f>(B13/C13)*100</f>
        <v/>
      </c>
      <c r="E13" t="n">
        <v>1</v>
      </c>
      <c r="F13" t="n">
        <v>1</v>
      </c>
      <c r="G13">
        <f>IF(F13&gt;0,(E13/F13)*100,0)</f>
        <v/>
      </c>
      <c r="H13" t="n">
        <v>1</v>
      </c>
      <c r="I13" t="n">
        <v>1</v>
      </c>
      <c r="J13">
        <f>IF(I13&gt;0,(H13/I13)*100,0)</f>
        <v/>
      </c>
      <c r="K13" t="n">
        <v>0</v>
      </c>
      <c r="L13" t="n">
        <v>1</v>
      </c>
      <c r="M13">
        <f>IF(L13+K13&gt;0,K13/(K13+L13),0)</f>
        <v/>
      </c>
      <c r="N13" t="n">
        <v>1</v>
      </c>
      <c r="O13" t="n">
        <v>1</v>
      </c>
      <c r="P13">
        <f>IF(O13&gt;0,N13/O13,0)</f>
        <v/>
      </c>
    </row>
    <row r="14">
      <c r="A14" t="inlineStr">
        <is>
          <t>DELETE adminorderservice/adminorder/{?}/{?}</t>
        </is>
      </c>
      <c r="B14" t="n">
        <v>2</v>
      </c>
      <c r="C14" t="n">
        <v>2</v>
      </c>
      <c r="D14">
        <f>(B14/C14)*100</f>
        <v/>
      </c>
      <c r="E14" t="n">
        <v>1</v>
      </c>
      <c r="F14" t="n">
        <v>1</v>
      </c>
      <c r="G14">
        <f>IF(F14&gt;0,(E14/F14)*100,0)</f>
        <v/>
      </c>
      <c r="H14" t="n">
        <v>2</v>
      </c>
      <c r="I14" t="n">
        <v>2</v>
      </c>
      <c r="J14">
        <f>IF(I14&gt;0,(H14/I14)*100,0)</f>
        <v/>
      </c>
      <c r="K14" t="n">
        <v>0</v>
      </c>
      <c r="L14" t="n">
        <v>1</v>
      </c>
      <c r="M14">
        <f>IF(L14+K14&gt;0,K14/(K14+L14),0)</f>
        <v/>
      </c>
      <c r="N14" t="n">
        <v>1</v>
      </c>
      <c r="O14" t="n">
        <v>1</v>
      </c>
      <c r="P14">
        <f>IF(O14&gt;0,N14/O14,0)</f>
        <v/>
      </c>
    </row>
    <row r="15">
      <c r="A15" t="inlineStr">
        <is>
          <t>PUT orderservice/order</t>
        </is>
      </c>
      <c r="B15" t="n">
        <v>2</v>
      </c>
      <c r="C15" t="n">
        <v>2</v>
      </c>
      <c r="D15">
        <f>(B15/C15)*100</f>
        <v/>
      </c>
      <c r="E15" t="n">
        <v>1</v>
      </c>
      <c r="F15" t="n">
        <v>1</v>
      </c>
      <c r="G15">
        <f>IF(F15&gt;0,(E15/F15)*100,0)</f>
        <v/>
      </c>
      <c r="H15" t="n">
        <v>0</v>
      </c>
      <c r="I15" t="n">
        <v>0</v>
      </c>
      <c r="J15">
        <f>IF(I15&gt;0,(H15/I15)*100,0)</f>
        <v/>
      </c>
      <c r="K15" t="n">
        <v>1</v>
      </c>
      <c r="L15" t="n">
        <v>0</v>
      </c>
      <c r="M15">
        <f>IF(L15+K15&gt;0,K15/(K15+L15),0)</f>
        <v/>
      </c>
      <c r="N15" t="n">
        <v>2</v>
      </c>
      <c r="O15" t="n">
        <v>0</v>
      </c>
      <c r="P15">
        <f>IF(O15&gt;0,N15/O15,0)</f>
        <v/>
      </c>
    </row>
    <row r="16">
      <c r="A16" t="inlineStr">
        <is>
          <t>PUT adminuserservice/users</t>
        </is>
      </c>
      <c r="B16" t="n">
        <v>2</v>
      </c>
      <c r="C16" t="n">
        <v>2</v>
      </c>
      <c r="D16">
        <f>(B16/C16)*100</f>
        <v/>
      </c>
      <c r="E16" t="n">
        <v>1</v>
      </c>
      <c r="F16" t="n">
        <v>1</v>
      </c>
      <c r="G16">
        <f>IF(F16&gt;0,(E16/F16)*100,0)</f>
        <v/>
      </c>
      <c r="H16" t="n">
        <v>1</v>
      </c>
      <c r="I16" t="n">
        <v>1</v>
      </c>
      <c r="J16">
        <f>IF(I16&gt;0,(H16/I16)*100,0)</f>
        <v/>
      </c>
      <c r="K16" t="n">
        <v>0</v>
      </c>
      <c r="L16" t="n">
        <v>1</v>
      </c>
      <c r="M16">
        <f>IF(L16+K16&gt;0,K16/(K16+L16),0)</f>
        <v/>
      </c>
      <c r="N16" t="n">
        <v>1</v>
      </c>
      <c r="O16" t="n">
        <v>1</v>
      </c>
      <c r="P16">
        <f>IF(O16&gt;0,N16/O16,0)</f>
        <v/>
      </c>
    </row>
    <row r="17">
      <c r="A17" t="inlineStr">
        <is>
          <t>PUT adminorderservice/adminorder</t>
        </is>
      </c>
      <c r="B17" t="n">
        <v>2</v>
      </c>
      <c r="C17" t="n">
        <v>2</v>
      </c>
      <c r="D17">
        <f>(B17/C17)*100</f>
        <v/>
      </c>
      <c r="E17" t="n">
        <v>1</v>
      </c>
      <c r="F17" t="n">
        <v>1</v>
      </c>
      <c r="G17">
        <f>IF(F17&gt;0,(E17/F17)*100,0)</f>
        <v/>
      </c>
      <c r="H17" t="n">
        <v>0</v>
      </c>
      <c r="I17" t="n">
        <v>0</v>
      </c>
      <c r="J17">
        <f>IF(I17&gt;0,(H17/I17)*100,0)</f>
        <v/>
      </c>
      <c r="K17" t="n">
        <v>0</v>
      </c>
      <c r="L17" t="n">
        <v>1</v>
      </c>
      <c r="M17">
        <f>IF(L17+K17&gt;0,K17/(K17+L17),0)</f>
        <v/>
      </c>
      <c r="N17" t="n">
        <v>1</v>
      </c>
      <c r="O17" t="n">
        <v>1</v>
      </c>
      <c r="P17">
        <f>IF(O17&gt;0,N17/O17,0)</f>
        <v/>
      </c>
    </row>
    <row r="18">
      <c r="A18" t="inlineStr">
        <is>
          <t>PATCH assuranceservice/assurances/{?}/{?}/{?}</t>
        </is>
      </c>
      <c r="B18" t="n">
        <v>2</v>
      </c>
      <c r="C18" t="n">
        <v>2</v>
      </c>
      <c r="D18">
        <f>(B18/C18)*100</f>
        <v/>
      </c>
      <c r="E18" t="n">
        <v>1</v>
      </c>
      <c r="F18" t="n">
        <v>1</v>
      </c>
      <c r="G18">
        <f>IF(F18&gt;0,(E18/F18)*100,0)</f>
        <v/>
      </c>
      <c r="H18" t="n">
        <v>0</v>
      </c>
      <c r="I18" t="n">
        <v>0</v>
      </c>
      <c r="J18">
        <f>IF(I18&gt;0,(H18/I18)*100,0)</f>
        <v/>
      </c>
      <c r="K18" t="n">
        <v>1</v>
      </c>
      <c r="L18" t="n">
        <v>0</v>
      </c>
      <c r="M18">
        <f>IF(L18+K18&gt;0,K18/(K18+L18),0)</f>
        <v/>
      </c>
      <c r="N18" t="n">
        <v>2</v>
      </c>
      <c r="O18" t="n">
        <v>0</v>
      </c>
      <c r="P18">
        <f>IF(O18&gt;0,N18/O18,0)</f>
        <v/>
      </c>
    </row>
    <row r="22">
      <c r="B22" s="1" t="inlineStr">
        <is>
          <t>Correctness Metrics</t>
        </is>
      </c>
    </row>
    <row r="23">
      <c r="B23" s="2" t="inlineStr">
        <is>
          <t>Correct Expected Outcome Rate</t>
        </is>
      </c>
      <c r="E23" s="2" t="inlineStr">
        <is>
          <t>Correct Role Assignment Rate</t>
        </is>
      </c>
      <c r="H23" s="2" t="inlineStr">
        <is>
          <t xml:space="preserve">Correct Parameter Specification Rate </t>
        </is>
      </c>
      <c r="K23" s="2" t="inlineStr">
        <is>
          <t>True Negative Rate</t>
        </is>
      </c>
      <c r="N23" s="2" t="inlineStr">
        <is>
          <t>False Negative Rate</t>
        </is>
      </c>
      <c r="Q23" s="2" t="inlineStr">
        <is>
          <t>False Positive Rate</t>
        </is>
      </c>
      <c r="T23" s="2" t="inlineStr">
        <is>
          <t>Precision</t>
        </is>
      </c>
      <c r="U23" s="2" t="inlineStr">
        <is>
          <t>Recall</t>
        </is>
      </c>
      <c r="V23" s="2" t="inlineStr">
        <is>
          <t>F1 Score</t>
        </is>
      </c>
    </row>
    <row r="24">
      <c r="A24" s="2" t="inlineStr">
        <is>
          <t>Target Endpoint</t>
        </is>
      </c>
      <c r="B24" s="2" t="inlineStr">
        <is>
          <t xml:space="preserve">Cases with Correct Expected Status Codes </t>
        </is>
      </c>
      <c r="C24" s="2" t="inlineStr">
        <is>
          <t>Total Cases</t>
        </is>
      </c>
      <c r="D24" s="2" t="inlineStr">
        <is>
          <t>Correct Outcome %</t>
        </is>
      </c>
      <c r="E24" s="2" t="inlineStr">
        <is>
          <t>Cases with correct role-permission mapping</t>
        </is>
      </c>
      <c r="F24" s="2" t="inlineStr">
        <is>
          <t>Total Cases</t>
        </is>
      </c>
      <c r="G24" s="2" t="inlineStr">
        <is>
          <t>Correct Role Assignment %</t>
        </is>
      </c>
      <c r="H24" s="2" t="inlineStr">
        <is>
          <t>Cases with Valid Parameters</t>
        </is>
      </c>
      <c r="I24" s="2" t="inlineStr">
        <is>
          <t>Total Cases</t>
        </is>
      </c>
      <c r="J24" s="2" t="inlineStr">
        <is>
          <t>Parameter Specification Rate</t>
        </is>
      </c>
      <c r="K24" s="2" t="inlineStr">
        <is>
          <t>Cases that correctly captures inconsistency (TN)</t>
        </is>
      </c>
      <c r="L24" s="2" t="inlineStr">
        <is>
          <t>Cases that missed inconsistency (FP)</t>
        </is>
      </c>
      <c r="M24" s="2" t="inlineStr">
        <is>
          <t>TNR</t>
        </is>
      </c>
      <c r="N24" s="2" t="inlineStr">
        <is>
          <t>Cases that incorrectly captures inconsistencies (FN)</t>
        </is>
      </c>
      <c r="O24" s="2" t="inlineStr">
        <is>
          <t>Cases that tests consistency (TP)</t>
        </is>
      </c>
      <c r="P24" s="2" t="inlineStr">
        <is>
          <t>FNR</t>
        </is>
      </c>
      <c r="Q24" s="2" t="inlineStr">
        <is>
          <t>Cases that missed inconsistency (FP)</t>
        </is>
      </c>
      <c r="R24" s="2" t="inlineStr">
        <is>
          <t>Cases that correctly captures inconsistency (TN)</t>
        </is>
      </c>
      <c r="S24" s="2" t="inlineStr">
        <is>
          <t>FPR</t>
        </is>
      </c>
      <c r="T24" s="2" t="inlineStr">
        <is>
          <t>Precision</t>
        </is>
      </c>
      <c r="U24" s="2" t="inlineStr">
        <is>
          <t>Recall</t>
        </is>
      </c>
      <c r="V24" s="2" t="inlineStr">
        <is>
          <t>F1 Score</t>
        </is>
      </c>
    </row>
    <row r="25">
      <c r="A25" t="inlineStr">
        <is>
          <t>GET contactservice/contacts</t>
        </is>
      </c>
      <c r="B25" t="n">
        <v>2</v>
      </c>
      <c r="C25" t="n">
        <v>2</v>
      </c>
      <c r="D25">
        <f>IF(C25&gt;0,(B25/C25)*100,0)</f>
        <v/>
      </c>
      <c r="E25" t="n">
        <v>2</v>
      </c>
      <c r="F25" t="n">
        <v>2</v>
      </c>
      <c r="G25">
        <f>(E25/F25)*100</f>
        <v/>
      </c>
      <c r="H25" t="n">
        <v>2</v>
      </c>
      <c r="I25" t="n">
        <v>2</v>
      </c>
      <c r="J25">
        <f>IF(I25&gt;0,(H25/I25)*100,0)</f>
        <v/>
      </c>
      <c r="K25" t="n">
        <v>1</v>
      </c>
      <c r="L25" t="n">
        <v>0</v>
      </c>
      <c r="M25">
        <f>IF(K25+L25&gt;0,K25/(K25+L25),0)</f>
        <v/>
      </c>
      <c r="N25" t="n">
        <v>0</v>
      </c>
      <c r="O25" t="n">
        <v>0</v>
      </c>
      <c r="P25">
        <f>IF(N25+O25&gt;0,N25/(N25+O25),0)</f>
        <v/>
      </c>
      <c r="Q25" t="n">
        <v>0</v>
      </c>
      <c r="R25" t="n">
        <v>1</v>
      </c>
      <c r="S25">
        <f>IF(Q25+R25&gt;0,Q25/(Q25+R25),0)</f>
        <v/>
      </c>
      <c r="T25">
        <f>IF(O25+L25&gt;0,O25/(O25+L25),0)</f>
        <v/>
      </c>
      <c r="U25">
        <f>IF(O25+N25&gt;0,O25/(O25+N25),0)</f>
        <v/>
      </c>
      <c r="V25">
        <f>IF(T25+U25&gt;0,2*(T25*U25)/(T25+U25),0)</f>
        <v/>
      </c>
    </row>
    <row r="26">
      <c r="A26" t="inlineStr">
        <is>
          <t>GET adminbasicservice/adminbasic/prices</t>
        </is>
      </c>
      <c r="B26" t="n">
        <v>2</v>
      </c>
      <c r="C26" t="n">
        <v>2</v>
      </c>
      <c r="D26">
        <f>IF(C26&gt;0,(B26/C26)*100,0)</f>
        <v/>
      </c>
      <c r="E26" t="n">
        <v>2</v>
      </c>
      <c r="F26" t="n">
        <v>2</v>
      </c>
      <c r="G26">
        <f>(E26/F26)*100</f>
        <v/>
      </c>
      <c r="H26" t="n">
        <v>2</v>
      </c>
      <c r="I26" t="n">
        <v>2</v>
      </c>
      <c r="J26">
        <f>IF(I26&gt;0,(H26/I26)*100,0)</f>
        <v/>
      </c>
      <c r="K26" t="n">
        <v>1</v>
      </c>
      <c r="L26" t="n">
        <v>0</v>
      </c>
      <c r="M26">
        <f>IF(K26+L26&gt;0,K26/(K26+L26),0)</f>
        <v/>
      </c>
      <c r="N26" t="n">
        <v>0</v>
      </c>
      <c r="O26" t="n">
        <v>0</v>
      </c>
      <c r="P26">
        <f>IF(N26+O26&gt;0,N26/(N26+O26),0)</f>
        <v/>
      </c>
      <c r="Q26" t="n">
        <v>0</v>
      </c>
      <c r="R26" t="n">
        <v>1</v>
      </c>
      <c r="S26">
        <f>IF(Q26+R26&gt;0,Q26/(Q26+R26),0)</f>
        <v/>
      </c>
      <c r="T26">
        <f>IF(O26+L26&gt;0,O26/(O26+L26),0)</f>
        <v/>
      </c>
      <c r="U26">
        <f>IF(O26+N26&gt;0,O26/(O26+N26),0)</f>
        <v/>
      </c>
      <c r="V26">
        <f>IF(T26+U26&gt;0,2*(T26*U26)/(T26+U26),0)</f>
        <v/>
      </c>
    </row>
    <row r="27">
      <c r="A27" t="inlineStr">
        <is>
          <t>GET cancelservice/cancel/{?}/{?}</t>
        </is>
      </c>
      <c r="B27" t="n">
        <v>2</v>
      </c>
      <c r="C27" t="n">
        <v>2</v>
      </c>
      <c r="D27">
        <f>IF(C27&gt;0,(B27/C27)*100,0)</f>
        <v/>
      </c>
      <c r="E27" t="n">
        <v>2</v>
      </c>
      <c r="F27" t="n">
        <v>2</v>
      </c>
      <c r="G27">
        <f>(E27/F27)*100</f>
        <v/>
      </c>
      <c r="H27" t="n">
        <v>2</v>
      </c>
      <c r="I27" t="n">
        <v>2</v>
      </c>
      <c r="J27">
        <f>IF(I27&gt;0,(H27/I27)*100,0)</f>
        <v/>
      </c>
      <c r="K27" t="n">
        <v>0</v>
      </c>
      <c r="L27" t="n">
        <v>0</v>
      </c>
      <c r="M27">
        <f>IF(K27+L27&gt;0,K27/(K27+L27),0)</f>
        <v/>
      </c>
      <c r="N27" t="n">
        <v>1</v>
      </c>
      <c r="O27" t="n">
        <v>0</v>
      </c>
      <c r="P27">
        <f>IF(N27+O27&gt;0,N27/(N27+O27),0)</f>
        <v/>
      </c>
      <c r="Q27" t="n">
        <v>0</v>
      </c>
      <c r="R27" t="n">
        <v>0</v>
      </c>
      <c r="S27">
        <f>IF(Q27+R27&gt;0,Q27/(Q27+R27),0)</f>
        <v/>
      </c>
      <c r="T27">
        <f>IF(O27+L27&gt;0,O27/(O27+L27),0)</f>
        <v/>
      </c>
      <c r="U27">
        <f>IF(O27+N27&gt;0,O27/(O27+N27),0)</f>
        <v/>
      </c>
      <c r="V27">
        <f>IF(T27+U27&gt;0,2*(T27*U27)/(T27+U27),0)</f>
        <v/>
      </c>
    </row>
    <row r="28">
      <c r="A28" t="inlineStr">
        <is>
          <t>POST inside_pay_service/inside_payment/account</t>
        </is>
      </c>
      <c r="B28" t="n">
        <v>2</v>
      </c>
      <c r="C28" t="n">
        <v>2</v>
      </c>
      <c r="D28">
        <f>IF(C28&gt;0,(B28/C28)*100,0)</f>
        <v/>
      </c>
      <c r="E28" t="n">
        <v>2</v>
      </c>
      <c r="F28" t="n">
        <v>2</v>
      </c>
      <c r="G28">
        <f>(E28/F28)*100</f>
        <v/>
      </c>
      <c r="H28" t="n">
        <v>2</v>
      </c>
      <c r="I28" t="n">
        <v>2</v>
      </c>
      <c r="J28">
        <f>IF(I28&gt;0,(H28/I28)*100,0)</f>
        <v/>
      </c>
      <c r="K28" t="n">
        <v>1</v>
      </c>
      <c r="L28" t="n">
        <v>0</v>
      </c>
      <c r="M28">
        <f>IF(K28+L28&gt;0,K28/(K28+L28),0)</f>
        <v/>
      </c>
      <c r="N28" t="n">
        <v>0</v>
      </c>
      <c r="O28" t="n">
        <v>0</v>
      </c>
      <c r="P28">
        <f>IF(N28+O28&gt;0,N28/(N28+O28),0)</f>
        <v/>
      </c>
      <c r="Q28" t="n">
        <v>0</v>
      </c>
      <c r="R28" t="n">
        <v>1</v>
      </c>
      <c r="S28">
        <f>IF(Q28+R28&gt;0,Q28/(Q28+R28),0)</f>
        <v/>
      </c>
      <c r="T28">
        <f>IF(O28+L28&gt;0,O28/(O28+L28),0)</f>
        <v/>
      </c>
      <c r="U28">
        <f>IF(O28+N28&gt;0,O28/(O28+N28),0)</f>
        <v/>
      </c>
      <c r="V28">
        <f>IF(T28+U28&gt;0,2*(T28*U28)/(T28+U28),0)</f>
        <v/>
      </c>
    </row>
    <row r="29">
      <c r="A29" t="inlineStr">
        <is>
          <t>POST adminbasicservice/adminbasic/prices</t>
        </is>
      </c>
      <c r="B29" t="n">
        <v>2</v>
      </c>
      <c r="C29" t="n">
        <v>2</v>
      </c>
      <c r="D29">
        <f>IF(C29&gt;0,(B29/C29)*100,0)</f>
        <v/>
      </c>
      <c r="E29" t="n">
        <v>2</v>
      </c>
      <c r="F29" t="n">
        <v>2</v>
      </c>
      <c r="G29">
        <f>(E29/F29)*100</f>
        <v/>
      </c>
      <c r="H29" t="n">
        <v>2</v>
      </c>
      <c r="I29" t="n">
        <v>2</v>
      </c>
      <c r="J29">
        <f>IF(I29&gt;0,(H29/I29)*100,0)</f>
        <v/>
      </c>
      <c r="K29" t="n">
        <v>1</v>
      </c>
      <c r="L29" t="n">
        <v>0</v>
      </c>
      <c r="M29">
        <f>IF(K29+L29&gt;0,K29/(K29+L29),0)</f>
        <v/>
      </c>
      <c r="N29" t="n">
        <v>0</v>
      </c>
      <c r="O29" t="n">
        <v>0</v>
      </c>
      <c r="P29">
        <f>IF(N29+O29&gt;0,N29/(N29+O29),0)</f>
        <v/>
      </c>
      <c r="Q29" t="n">
        <v>0</v>
      </c>
      <c r="R29" t="n">
        <v>1</v>
      </c>
      <c r="S29">
        <f>IF(Q29+R29&gt;0,Q29/(Q29+R29),0)</f>
        <v/>
      </c>
      <c r="T29">
        <f>IF(O29+L29&gt;0,O29/(O29+L29),0)</f>
        <v/>
      </c>
      <c r="U29">
        <f>IF(O29+N29&gt;0,O29/(O29+N29),0)</f>
        <v/>
      </c>
      <c r="V29">
        <f>IF(T29+U29&gt;0,2*(T29*U29)/(T29+U29),0)</f>
        <v/>
      </c>
    </row>
    <row r="30">
      <c r="A30" t="inlineStr">
        <is>
          <t>POST preserveservice/preserve</t>
        </is>
      </c>
      <c r="B30" t="n">
        <v>2</v>
      </c>
      <c r="C30" t="n">
        <v>2</v>
      </c>
      <c r="D30">
        <f>IF(C30&gt;0,(B30/C30)*100,0)</f>
        <v/>
      </c>
      <c r="E30" t="n">
        <v>2</v>
      </c>
      <c r="F30" t="n">
        <v>2</v>
      </c>
      <c r="G30">
        <f>(E30/F30)*100</f>
        <v/>
      </c>
      <c r="H30" t="n">
        <v>2</v>
      </c>
      <c r="I30" t="n">
        <v>2</v>
      </c>
      <c r="J30">
        <f>IF(I30&gt;0,(H30/I30)*100,0)</f>
        <v/>
      </c>
      <c r="K30" t="n">
        <v>0</v>
      </c>
      <c r="L30" t="n">
        <v>0</v>
      </c>
      <c r="M30">
        <f>IF(K30+L30&gt;0,K30/(K30+L30),0)</f>
        <v/>
      </c>
      <c r="N30" t="n">
        <v>0</v>
      </c>
      <c r="O30" t="n">
        <v>1</v>
      </c>
      <c r="P30">
        <f>IF(N30+O30&gt;0,N30/(N30+O30),0)</f>
        <v/>
      </c>
      <c r="Q30" t="n">
        <v>0</v>
      </c>
      <c r="R30" t="n">
        <v>0</v>
      </c>
      <c r="S30">
        <f>IF(Q30+R30&gt;0,Q30/(Q30+R30),0)</f>
        <v/>
      </c>
      <c r="T30">
        <f>IF(O30+L30&gt;0,O30/(O30+L30),0)</f>
        <v/>
      </c>
      <c r="U30">
        <f>IF(O30+N30&gt;0,O30/(O30+N30),0)</f>
        <v/>
      </c>
      <c r="V30">
        <f>IF(T30+U30&gt;0,2*(T30*U30)/(T30+U30),0)</f>
        <v/>
      </c>
    </row>
    <row r="31">
      <c r="A31" t="inlineStr">
        <is>
          <t>DELETE contactservice/contacts/{?}</t>
        </is>
      </c>
      <c r="B31" t="n">
        <v>2</v>
      </c>
      <c r="C31" t="n">
        <v>2</v>
      </c>
      <c r="D31">
        <f>IF(C31&gt;0,(B31/C31)*100,0)</f>
        <v/>
      </c>
      <c r="E31" t="n">
        <v>2</v>
      </c>
      <c r="F31" t="n">
        <v>2</v>
      </c>
      <c r="G31">
        <f>(E31/F31)*100</f>
        <v/>
      </c>
      <c r="H31" t="n">
        <v>2</v>
      </c>
      <c r="I31" t="n">
        <v>2</v>
      </c>
      <c r="J31">
        <f>IF(I31&gt;0,(H31/I31)*100,0)</f>
        <v/>
      </c>
      <c r="K31" t="n">
        <v>1</v>
      </c>
      <c r="L31" t="n">
        <v>0</v>
      </c>
      <c r="M31">
        <f>IF(K31+L31&gt;0,K31/(K31+L31),0)</f>
        <v/>
      </c>
      <c r="N31" t="n">
        <v>0</v>
      </c>
      <c r="O31" t="n">
        <v>0</v>
      </c>
      <c r="P31">
        <f>IF(N31+O31&gt;0,N31/(N31+O31),0)</f>
        <v/>
      </c>
      <c r="Q31" t="n">
        <v>0</v>
      </c>
      <c r="R31" t="n">
        <v>1</v>
      </c>
      <c r="S31">
        <f>IF(Q31+R31&gt;0,Q31/(Q31+R31),0)</f>
        <v/>
      </c>
      <c r="T31">
        <f>IF(O31+L31&gt;0,O31/(O31+L31),0)</f>
        <v/>
      </c>
      <c r="U31">
        <f>IF(O31+N31&gt;0,O31/(O31+N31),0)</f>
        <v/>
      </c>
      <c r="V31">
        <f>IF(T31+U31&gt;0,2*(T31*U31)/(T31+U31),0)</f>
        <v/>
      </c>
    </row>
    <row r="32">
      <c r="A32" t="inlineStr">
        <is>
          <t>DELETE adminbasicservice/adminbasic/stations/{?}</t>
        </is>
      </c>
      <c r="B32" t="n">
        <v>2</v>
      </c>
      <c r="C32" t="n">
        <v>2</v>
      </c>
      <c r="D32">
        <f>IF(C32&gt;0,(B32/C32)*100,0)</f>
        <v/>
      </c>
      <c r="E32" t="n">
        <v>2</v>
      </c>
      <c r="F32" t="n">
        <v>2</v>
      </c>
      <c r="G32">
        <f>(E32/F32)*100</f>
        <v/>
      </c>
      <c r="H32" t="n">
        <v>2</v>
      </c>
      <c r="I32" t="n">
        <v>2</v>
      </c>
      <c r="J32">
        <f>IF(I32&gt;0,(H32/I32)*100,0)</f>
        <v/>
      </c>
      <c r="K32" t="n">
        <v>0</v>
      </c>
      <c r="L32" t="n">
        <v>0</v>
      </c>
      <c r="M32">
        <f>IF(K32+L32&gt;0,K32/(K32+L32),0)</f>
        <v/>
      </c>
      <c r="N32" t="n">
        <v>0</v>
      </c>
      <c r="O32" t="n">
        <v>1</v>
      </c>
      <c r="P32">
        <f>IF(N32+O32&gt;0,N32/(N32+O32),0)</f>
        <v/>
      </c>
      <c r="Q32" t="n">
        <v>0</v>
      </c>
      <c r="R32" t="n">
        <v>0</v>
      </c>
      <c r="S32">
        <f>IF(Q32+R32&gt;0,Q32/(Q32+R32),0)</f>
        <v/>
      </c>
      <c r="T32">
        <f>IF(O32+L32&gt;0,O32/(O32+L32),0)</f>
        <v/>
      </c>
      <c r="U32">
        <f>IF(O32+N32&gt;0,O32/(O32+N32),0)</f>
        <v/>
      </c>
      <c r="V32">
        <f>IF(T32+U32&gt;0,2*(T32*U32)/(T32+U32),0)</f>
        <v/>
      </c>
    </row>
    <row r="33">
      <c r="A33" t="inlineStr">
        <is>
          <t>DELETE adminorderservice/adminorder/{?}/{?}</t>
        </is>
      </c>
      <c r="B33" t="n">
        <v>2</v>
      </c>
      <c r="C33" t="n">
        <v>2</v>
      </c>
      <c r="D33">
        <f>IF(C33&gt;0,(B33/C33)*100,0)</f>
        <v/>
      </c>
      <c r="E33" t="n">
        <v>2</v>
      </c>
      <c r="F33" t="n">
        <v>2</v>
      </c>
      <c r="G33">
        <f>(E33/F33)*100</f>
        <v/>
      </c>
      <c r="H33" t="n">
        <v>2</v>
      </c>
      <c r="I33" t="n">
        <v>2</v>
      </c>
      <c r="J33">
        <f>IF(I33&gt;0,(H33/I33)*100,0)</f>
        <v/>
      </c>
      <c r="K33" t="n">
        <v>0</v>
      </c>
      <c r="L33" t="n">
        <v>0</v>
      </c>
      <c r="M33">
        <f>IF(K33+L33&gt;0,K33/(K33+L33),0)</f>
        <v/>
      </c>
      <c r="N33" t="n">
        <v>0</v>
      </c>
      <c r="O33" t="n">
        <v>1</v>
      </c>
      <c r="P33">
        <f>IF(N33+O33&gt;0,N33/(N33+O33),0)</f>
        <v/>
      </c>
      <c r="Q33" t="n">
        <v>0</v>
      </c>
      <c r="R33" t="n">
        <v>0</v>
      </c>
      <c r="S33">
        <f>IF(Q33+R33&gt;0,Q33/(Q33+R33),0)</f>
        <v/>
      </c>
      <c r="T33">
        <f>IF(O33+L33&gt;0,O33/(O33+L33),0)</f>
        <v/>
      </c>
      <c r="U33">
        <f>IF(O33+N33&gt;0,O33/(O33+N33),0)</f>
        <v/>
      </c>
      <c r="V33">
        <f>IF(T33+U33&gt;0,2*(T33*U33)/(T33+U33),0)</f>
        <v/>
      </c>
    </row>
    <row r="34">
      <c r="A34" t="inlineStr">
        <is>
          <t>PUT orderservice/order</t>
        </is>
      </c>
      <c r="B34" t="n">
        <v>2</v>
      </c>
      <c r="C34" t="n">
        <v>2</v>
      </c>
      <c r="D34">
        <f>IF(C34&gt;0,(B34/C34)*100,0)</f>
        <v/>
      </c>
      <c r="E34" t="n">
        <v>2</v>
      </c>
      <c r="F34" t="n">
        <v>2</v>
      </c>
      <c r="G34">
        <f>(E34/F34)*100</f>
        <v/>
      </c>
      <c r="H34" t="n">
        <v>2</v>
      </c>
      <c r="I34" t="n">
        <v>2</v>
      </c>
      <c r="J34">
        <f>IF(I34&gt;0,(H34/I34)*100,0)</f>
        <v/>
      </c>
      <c r="K34" t="n">
        <v>1</v>
      </c>
      <c r="L34" t="n">
        <v>0</v>
      </c>
      <c r="M34">
        <f>IF(K34+L34&gt;0,K34/(K34+L34),0)</f>
        <v/>
      </c>
      <c r="N34" t="n">
        <v>0</v>
      </c>
      <c r="O34" t="n">
        <v>0</v>
      </c>
      <c r="P34">
        <f>IF(N34+O34&gt;0,N34/(N34+O34),0)</f>
        <v/>
      </c>
      <c r="Q34" t="n">
        <v>0</v>
      </c>
      <c r="R34" t="n">
        <v>1</v>
      </c>
      <c r="S34">
        <f>IF(Q34+R34&gt;0,Q34/(Q34+R34),0)</f>
        <v/>
      </c>
      <c r="T34">
        <f>IF(O34+L34&gt;0,O34/(O34+L34),0)</f>
        <v/>
      </c>
      <c r="U34">
        <f>IF(O34+N34&gt;0,O34/(O34+N34),0)</f>
        <v/>
      </c>
      <c r="V34">
        <f>IF(T34+U34&gt;0,2*(T34*U34)/(T34+U34),0)</f>
        <v/>
      </c>
    </row>
    <row r="35">
      <c r="A35" t="inlineStr">
        <is>
          <t>PUT adminuserservice/users</t>
        </is>
      </c>
      <c r="B35" t="n">
        <v>2</v>
      </c>
      <c r="C35" t="n">
        <v>2</v>
      </c>
      <c r="D35">
        <f>IF(C35&gt;0,(B35/C35)*100,0)</f>
        <v/>
      </c>
      <c r="E35" t="n">
        <v>2</v>
      </c>
      <c r="F35" t="n">
        <v>2</v>
      </c>
      <c r="G35">
        <f>(E35/F35)*100</f>
        <v/>
      </c>
      <c r="H35" t="n">
        <v>2</v>
      </c>
      <c r="I35" t="n">
        <v>2</v>
      </c>
      <c r="J35">
        <f>IF(I35&gt;0,(H35/I35)*100,0)</f>
        <v/>
      </c>
      <c r="K35" t="n">
        <v>0</v>
      </c>
      <c r="L35" t="n">
        <v>0</v>
      </c>
      <c r="M35">
        <f>IF(K35+L35&gt;0,K35/(K35+L35),0)</f>
        <v/>
      </c>
      <c r="N35" t="n">
        <v>0</v>
      </c>
      <c r="O35" t="n">
        <v>1</v>
      </c>
      <c r="P35">
        <f>IF(N35+O35&gt;0,N35/(N35+O35),0)</f>
        <v/>
      </c>
      <c r="Q35" t="n">
        <v>0</v>
      </c>
      <c r="R35" t="n">
        <v>0</v>
      </c>
      <c r="S35">
        <f>IF(Q35+R35&gt;0,Q35/(Q35+R35),0)</f>
        <v/>
      </c>
      <c r="T35">
        <f>IF(O35+L35&gt;0,O35/(O35+L35),0)</f>
        <v/>
      </c>
      <c r="U35">
        <f>IF(O35+N35&gt;0,O35/(O35+N35),0)</f>
        <v/>
      </c>
      <c r="V35">
        <f>IF(T35+U35&gt;0,2*(T35*U35)/(T35+U35),0)</f>
        <v/>
      </c>
    </row>
    <row r="36">
      <c r="A36" t="inlineStr">
        <is>
          <t>PUT adminorderservice/adminorder</t>
        </is>
      </c>
      <c r="B36" t="n">
        <v>2</v>
      </c>
      <c r="C36" t="n">
        <v>2</v>
      </c>
      <c r="D36">
        <f>IF(C36&gt;0,(B36/C36)*100,0)</f>
        <v/>
      </c>
      <c r="E36" t="n">
        <v>2</v>
      </c>
      <c r="F36" t="n">
        <v>2</v>
      </c>
      <c r="G36">
        <f>(E36/F36)*100</f>
        <v/>
      </c>
      <c r="H36" t="n">
        <v>2</v>
      </c>
      <c r="I36" t="n">
        <v>2</v>
      </c>
      <c r="J36">
        <f>IF(I36&gt;0,(H36/I36)*100,0)</f>
        <v/>
      </c>
      <c r="K36" t="n">
        <v>1</v>
      </c>
      <c r="L36" t="n">
        <v>0</v>
      </c>
      <c r="M36">
        <f>IF(K36+L36&gt;0,K36/(K36+L36),0)</f>
        <v/>
      </c>
      <c r="N36" t="n">
        <v>0</v>
      </c>
      <c r="O36" t="n">
        <v>0</v>
      </c>
      <c r="P36">
        <f>IF(N36+O36&gt;0,N36/(N36+O36),0)</f>
        <v/>
      </c>
      <c r="Q36" t="n">
        <v>0</v>
      </c>
      <c r="R36" t="n">
        <v>1</v>
      </c>
      <c r="S36">
        <f>IF(Q36+R36&gt;0,Q36/(Q36+R36),0)</f>
        <v/>
      </c>
      <c r="T36">
        <f>IF(O36+L36&gt;0,O36/(O36+L36),0)</f>
        <v/>
      </c>
      <c r="U36">
        <f>IF(O36+N36&gt;0,O36/(O36+N36),0)</f>
        <v/>
      </c>
      <c r="V36">
        <f>IF(T36+U36&gt;0,2*(T36*U36)/(T36+U36),0)</f>
        <v/>
      </c>
    </row>
    <row r="37">
      <c r="A37" t="inlineStr">
        <is>
          <t>PATCH assuranceservice/assurances/{?}/{?}/{?}</t>
        </is>
      </c>
      <c r="B37" t="n">
        <v>1</v>
      </c>
      <c r="C37" t="n">
        <v>2</v>
      </c>
      <c r="D37">
        <f>IF(C37&gt;0,(B37/C37)*100,0)</f>
        <v/>
      </c>
      <c r="E37" t="n">
        <v>1</v>
      </c>
      <c r="F37" t="n">
        <v>2</v>
      </c>
      <c r="G37">
        <f>(E37/F37)*100</f>
        <v/>
      </c>
      <c r="H37" t="n">
        <v>2</v>
      </c>
      <c r="I37" t="n">
        <v>2</v>
      </c>
      <c r="J37">
        <f>IF(I37&gt;0,(H37/I37)*100,0)</f>
        <v/>
      </c>
      <c r="K37" t="n">
        <v>1</v>
      </c>
      <c r="L37" t="n">
        <v>0</v>
      </c>
      <c r="M37">
        <f>IF(K37+L37&gt;0,K37/(K37+L37),0)</f>
        <v/>
      </c>
      <c r="N37" t="n">
        <v>0</v>
      </c>
      <c r="O37" t="n">
        <v>0</v>
      </c>
      <c r="P37">
        <f>IF(N37+O37&gt;0,N37/(N37+O37),0)</f>
        <v/>
      </c>
      <c r="Q37" t="n">
        <v>0</v>
      </c>
      <c r="R37" t="n">
        <v>1</v>
      </c>
      <c r="S37">
        <f>IF(Q37+R37&gt;0,Q37/(Q37+R37),0)</f>
        <v/>
      </c>
      <c r="T37">
        <f>IF(O37+L37&gt;0,O37/(O37+L37),0)</f>
        <v/>
      </c>
      <c r="U37">
        <f>IF(O37+N37&gt;0,O37/(O37+N37),0)</f>
        <v/>
      </c>
      <c r="V37">
        <f>IF(T37+U37&gt;0,2*(T37*U37)/(T37+U37),0)</f>
        <v/>
      </c>
    </row>
    <row r="41">
      <c r="B41" s="1" t="inlineStr">
        <is>
          <t>Executability Metrics</t>
        </is>
      </c>
    </row>
    <row r="42">
      <c r="B42" s="2" t="inlineStr">
        <is>
          <t>Valid Output Rate</t>
        </is>
      </c>
      <c r="E42" s="2" t="inlineStr">
        <is>
          <t>Parameter Completeness</t>
        </is>
      </c>
      <c r="H42" s="2" t="inlineStr">
        <is>
          <t>Duplicate Rate</t>
        </is>
      </c>
    </row>
    <row r="43">
      <c r="A43" s="2" t="inlineStr"/>
      <c r="B43" s="2" t="inlineStr">
        <is>
          <t>Valid JSON Outputs</t>
        </is>
      </c>
      <c r="C43" s="2" t="inlineStr">
        <is>
          <t>All Outputs</t>
        </is>
      </c>
      <c r="D43" s="2" t="inlineStr">
        <is>
          <t>Valid Output Rate %</t>
        </is>
      </c>
      <c r="E43" s="2" t="inlineStr">
        <is>
          <t>Scenarios with all required parameters</t>
        </is>
      </c>
      <c r="F43" s="2" t="inlineStr">
        <is>
          <t>Total Scenarios</t>
        </is>
      </c>
      <c r="G43" s="2" t="inlineStr">
        <is>
          <t>Parameter Completeness %</t>
        </is>
      </c>
      <c r="H43" s="2" t="inlineStr">
        <is>
          <t>Duplicate Scenarios</t>
        </is>
      </c>
      <c r="I43" s="2" t="inlineStr">
        <is>
          <t>Total Scenarios</t>
        </is>
      </c>
      <c r="J43" s="2" t="inlineStr">
        <is>
          <t>Duplicate Rate %</t>
        </is>
      </c>
    </row>
    <row r="44">
      <c r="A44" t="inlineStr">
        <is>
          <t>All Scenarios</t>
        </is>
      </c>
      <c r="B44" t="n">
        <v>259</v>
      </c>
      <c r="C44" t="n">
        <v>259</v>
      </c>
      <c r="D44">
        <f>IF(C44&gt;0,(B44/C44)*100,0)</f>
        <v/>
      </c>
      <c r="E44" t="n">
        <v>259</v>
      </c>
      <c r="F44" t="n">
        <v>259</v>
      </c>
      <c r="G44">
        <f>IF(F44&gt;0,(E44/F44)*100,0)</f>
        <v/>
      </c>
      <c r="H44" t="n">
        <v>0</v>
      </c>
      <c r="I44" t="n">
        <v>259</v>
      </c>
      <c r="J44">
        <f>IF(I44&gt;0,(H44/I44)*100,0)</f>
        <v/>
      </c>
    </row>
    <row r="47">
      <c r="B47" s="1" t="inlineStr">
        <is>
          <t>Detection Effectiveness (RQ4 - requires test execution)</t>
        </is>
      </c>
    </row>
    <row r="48">
      <c r="A48" s="2" t="inlineStr"/>
      <c r="B48" s="2" t="inlineStr">
        <is>
          <t>Detected Inconsistencies</t>
        </is>
      </c>
      <c r="C48" s="2" t="inlineStr">
        <is>
          <t>Known Inconsistencies</t>
        </is>
      </c>
      <c r="D48" s="2" t="inlineStr">
        <is>
          <t>Inconsistency Detection Rate %</t>
        </is>
      </c>
    </row>
    <row r="49">
      <c r="A49" t="inlineStr">
        <is>
          <t>After Test Execution</t>
        </is>
      </c>
      <c r="B49" t="inlineStr">
        <is>
          <t>(pending)</t>
        </is>
      </c>
      <c r="C49" t="inlineStr">
        <is>
          <t>(pending)</t>
        </is>
      </c>
      <c r="D49" t="inlineStr">
        <is>
          <t>N/A</t>
        </is>
      </c>
    </row>
  </sheetData>
  <mergeCells count="14">
    <mergeCell ref="B42:D42"/>
    <mergeCell ref="E42:G42"/>
    <mergeCell ref="H42:J42"/>
    <mergeCell ref="Q23:S23"/>
    <mergeCell ref="B23:D23"/>
    <mergeCell ref="K4:M4"/>
    <mergeCell ref="E23:G23"/>
    <mergeCell ref="H23:J23"/>
    <mergeCell ref="B4:D4"/>
    <mergeCell ref="H4:J4"/>
    <mergeCell ref="K23:M23"/>
    <mergeCell ref="N23:P23"/>
    <mergeCell ref="E4:G4"/>
    <mergeCell ref="N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2026-05-11T22:14:13Z</dcterms:created>
  <dcterms:modified xsi:type="dcterms:W3CDTF">2026-05-11T22:14:13Z</dcterms:modified>
</cp:coreProperties>
</file>